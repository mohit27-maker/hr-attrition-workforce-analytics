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s(DA)\hr-attrition-workforce-analytics\data\"/>
    </mc:Choice>
  </mc:AlternateContent>
  <xr:revisionPtr revIDLastSave="0" documentId="13_ncr:1_{01EA7BA3-E224-4081-BCF2-0C543B88B43B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F8" i="1"/>
  <c r="E8" i="1"/>
  <c r="E9" i="1"/>
  <c r="F9" i="1" s="1"/>
  <c r="E10" i="1"/>
  <c r="F10" i="1" s="1"/>
  <c r="E7" i="1"/>
  <c r="F7" i="1" s="1"/>
  <c r="C15" i="1" l="1"/>
  <c r="F11" i="1"/>
  <c r="C16" i="1"/>
</calcChain>
</file>

<file path=xl/sharedStrings.xml><?xml version="1.0" encoding="utf-8"?>
<sst xmlns="http://schemas.openxmlformats.org/spreadsheetml/2006/main" count="16" uniqueCount="16">
  <si>
    <t>Replacement cost (% of annual salary)</t>
  </si>
  <si>
    <t>Retention success rate of an intervention</t>
  </si>
  <si>
    <t xml:space="preserve">Risk Tier </t>
  </si>
  <si>
    <t>Employees</t>
  </si>
  <si>
    <t>Leavers</t>
  </si>
  <si>
    <t>High</t>
  </si>
  <si>
    <t xml:space="preserve">Critical	</t>
  </si>
  <si>
    <t>Elevated</t>
  </si>
  <si>
    <t>Low</t>
  </si>
  <si>
    <t>Total</t>
  </si>
  <si>
    <t>At-risk still here (Critical + High)</t>
  </si>
  <si>
    <t>Avg cost per exit (Critical + High)</t>
  </si>
  <si>
    <t>Potential savings</t>
  </si>
  <si>
    <t>Avg Annual Salary (currency units)</t>
  </si>
  <si>
    <t>Cost per Exit (currency units)</t>
  </si>
  <si>
    <t>Total Cost of Attrition (currency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</si>
</sst>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"/>
  <sheetViews>
    <sheetView tabSelected="1" zoomScale="74" zoomScaleNormal="74" workbookViewId="0">
      <selection activeCell="D16" sqref="D16"/>
    </sheetView>
  </sheetViews>
  <sheetFormatPr defaultRowHeight="14.5" x14ac:dyDescent="0.35"/>
  <cols>
    <col min="1" max="1" width="32.81640625" bestFit="1" customWidth="1"/>
    <col min="2" max="2" width="35.26953125" bestFit="1" customWidth="1"/>
    <col min="3" max="3" width="7.6328125" customWidth="1"/>
    <col min="4" max="4" width="29.54296875" bestFit="1" customWidth="1"/>
    <col min="5" max="5" width="24.90625" bestFit="1" customWidth="1"/>
    <col min="6" max="6" width="32.54296875" bestFit="1" customWidth="1"/>
  </cols>
  <sheetData>
    <row r="2" spans="1:6" x14ac:dyDescent="0.35">
      <c r="B2" s="1" t="s">
        <v>0</v>
      </c>
      <c r="C2" s="2">
        <v>0.5</v>
      </c>
    </row>
    <row r="3" spans="1:6" x14ac:dyDescent="0.35">
      <c r="B3" s="1" t="s">
        <v>1</v>
      </c>
      <c r="C3" s="2">
        <v>0.3</v>
      </c>
    </row>
    <row r="6" spans="1:6" x14ac:dyDescent="0.35">
      <c r="A6" t="s">
        <v>2</v>
      </c>
      <c r="B6" t="s">
        <v>3</v>
      </c>
      <c r="C6" t="s">
        <v>4</v>
      </c>
      <c r="D6" t="s">
        <v>13</v>
      </c>
      <c r="E6" t="s">
        <v>14</v>
      </c>
      <c r="F6" t="s">
        <v>15</v>
      </c>
    </row>
    <row r="7" spans="1:6" x14ac:dyDescent="0.35">
      <c r="A7" t="s">
        <v>6</v>
      </c>
      <c r="B7">
        <v>36</v>
      </c>
      <c r="C7">
        <v>27</v>
      </c>
      <c r="D7" s="4">
        <v>26591</v>
      </c>
      <c r="E7" s="4">
        <f>D7*$C$2</f>
        <v>13295.5</v>
      </c>
      <c r="F7" s="4">
        <f>C7*E7</f>
        <v>358978.5</v>
      </c>
    </row>
    <row r="8" spans="1:6" x14ac:dyDescent="0.35">
      <c r="A8" t="s">
        <v>5</v>
      </c>
      <c r="B8">
        <v>78</v>
      </c>
      <c r="C8">
        <v>37</v>
      </c>
      <c r="D8" s="4">
        <v>28789</v>
      </c>
      <c r="E8" s="4">
        <f t="shared" ref="E8:E10" si="0">D8*$C$2</f>
        <v>14394.5</v>
      </c>
      <c r="F8" s="4">
        <f t="shared" ref="F8:F10" si="1">C8*E8</f>
        <v>532596.5</v>
      </c>
    </row>
    <row r="9" spans="1:6" x14ac:dyDescent="0.35">
      <c r="A9" t="s">
        <v>7</v>
      </c>
      <c r="B9">
        <v>583</v>
      </c>
      <c r="C9">
        <v>112</v>
      </c>
      <c r="D9" s="4">
        <v>59719</v>
      </c>
      <c r="E9" s="4">
        <f t="shared" si="0"/>
        <v>29859.5</v>
      </c>
      <c r="F9" s="4">
        <f t="shared" si="1"/>
        <v>3344264</v>
      </c>
    </row>
    <row r="10" spans="1:6" x14ac:dyDescent="0.35">
      <c r="A10" s="3" t="s">
        <v>8</v>
      </c>
      <c r="B10" s="3">
        <v>773</v>
      </c>
      <c r="C10" s="3">
        <v>61</v>
      </c>
      <c r="D10" s="5">
        <v>84308</v>
      </c>
      <c r="E10" s="4">
        <f t="shared" si="0"/>
        <v>42154</v>
      </c>
      <c r="F10" s="4">
        <f t="shared" si="1"/>
        <v>2571394</v>
      </c>
    </row>
    <row r="11" spans="1:6" x14ac:dyDescent="0.35">
      <c r="A11" t="s">
        <v>9</v>
      </c>
      <c r="D11" s="4"/>
      <c r="E11" s="4"/>
      <c r="F11" s="4">
        <f>SUM(F7:F10)</f>
        <v>6807233</v>
      </c>
    </row>
    <row r="14" spans="1:6" x14ac:dyDescent="0.35">
      <c r="B14" t="s">
        <v>10</v>
      </c>
      <c r="C14">
        <f>(B7+B8)-(C7+C8)</f>
        <v>50</v>
      </c>
    </row>
    <row r="15" spans="1:6" x14ac:dyDescent="0.35">
      <c r="B15" t="s">
        <v>11</v>
      </c>
      <c r="C15" s="4">
        <f>(F7+F8)/(C7+C8)</f>
        <v>13930.859375</v>
      </c>
    </row>
    <row r="16" spans="1:6" x14ac:dyDescent="0.35">
      <c r="B16" t="s">
        <v>12</v>
      </c>
      <c r="C16" s="4">
        <f>C14*C15*C3</f>
        <v>208962.890625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vakiya</dc:creator>
  <cp:lastModifiedBy>mohit sengar</cp:lastModifiedBy>
  <dcterms:created xsi:type="dcterms:W3CDTF">2015-06-05T18:17:20Z</dcterms:created>
  <dcterms:modified xsi:type="dcterms:W3CDTF">2026-10-01T03:46:21Z</dcterms:modified>
</cp:coreProperties>
</file>